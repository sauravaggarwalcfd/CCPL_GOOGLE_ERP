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O_MASTER" sheetId="1" state="visible" r:id="rId1"/>
    <sheet xmlns:r="http://schemas.openxmlformats.org/officeDocument/2006/relationships" name="PO_LINE_ITEMS" sheetId="2" state="visible" r:id="rId2"/>
    <sheet xmlns:r="http://schemas.openxmlformats.org/officeDocument/2006/relationships" name="GRN_MASTER" sheetId="3" state="visible" r:id="rId3"/>
    <sheet xmlns:r="http://schemas.openxmlformats.org/officeDocument/2006/relationships" name="GRN_LINE_ITEMS" sheetId="4" state="visible" r:id="rId4"/>
    <sheet xmlns:r="http://schemas.openxmlformats.org/officeDocument/2006/relationships" name="MASTER_RELATIONS_F2" sheetId="5" state="visible" r:id="rId5"/>
    <sheet xmlns:r="http://schemas.openxmlformats.org/officeDocument/2006/relationships" name="TEMPLATES" sheetId="6" state="visible" r:id="rId6"/>
    <sheet xmlns:r="http://schemas.openxmlformats.org/officeDocument/2006/relationships" name="RECORD_COM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Arial"/>
      <b val="1"/>
      <color rgb="FFFFFFFF"/>
      <sz val="11"/>
    </font>
    <font/>
    <font>
      <name val="Arial"/>
      <b val="1"/>
      <color rgb="FFFFFFFF"/>
      <sz val="9"/>
    </font>
    <font>
      <name val="Arial"/>
      <i val="1"/>
      <color rgb="FF555555"/>
      <sz val="8"/>
    </font>
    <font>
      <name val="Arial"/>
      <color theme="1"/>
      <sz val="9"/>
    </font>
    <font>
      <name val="Arial"/>
      <color rgb="FF444466"/>
      <sz val="8"/>
    </font>
    <font>
      <name val="Arial"/>
      <color rgb="FF1A1A2E"/>
      <sz val="9"/>
    </font>
  </fonts>
  <fills count="10">
    <fill>
      <patternFill/>
    </fill>
    <fill>
      <patternFill patternType="lightGray"/>
    </fill>
    <fill>
      <patternFill patternType="solid">
        <fgColor rgb="FF1A2744"/>
        <bgColor rgb="FF1A2744"/>
      </patternFill>
    </fill>
    <fill>
      <patternFill patternType="solid">
        <fgColor rgb="FFC0392B"/>
        <bgColor rgb="FFC0392B"/>
      </patternFill>
    </fill>
    <fill>
      <patternFill patternType="solid">
        <fgColor rgb="FFD6EAF8"/>
        <bgColor rgb="FFD6EAF8"/>
      </patternFill>
    </fill>
    <fill>
      <patternFill patternType="solid">
        <fgColor rgb="FFFDFEFE"/>
        <bgColor rgb="FFFDFEFE"/>
      </patternFill>
    </fill>
    <fill>
      <patternFill patternType="solid">
        <fgColor rgb="FFEBF5FB"/>
        <bgColor rgb="FFEBF5FB"/>
      </patternFill>
    </fill>
    <fill>
      <patternFill patternType="solid">
        <fgColor rgb="FF1A2744"/>
      </patternFill>
    </fill>
    <fill>
      <patternFill patternType="solid">
        <fgColor rgb="FF1A1A2E"/>
      </patternFill>
    </fill>
    <fill>
      <patternFill patternType="solid">
        <fgColor rgb="FFF0F4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bottom style="thin">
        <color rgb="FFDDDDDD"/>
      </bottom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vertical="center"/>
    </xf>
    <xf numFmtId="0" fontId="5" fillId="6" borderId="4" applyAlignment="1" pivotButton="0" quotePrefix="0" xfId="0">
      <alignment vertical="center"/>
    </xf>
    <xf numFmtId="0" fontId="5" fillId="5" borderId="4" applyAlignment="1" pivotButton="0" quotePrefix="0" xfId="0">
      <alignment vertical="center" wrapText="1"/>
    </xf>
    <xf numFmtId="0" fontId="5" fillId="6" borderId="4" applyAlignment="1" pivotButton="0" quotePrefix="0" xfId="0">
      <alignment vertical="center" wrapText="1"/>
    </xf>
    <xf numFmtId="0" fontId="0" fillId="0" borderId="0" pivotButton="0" quotePrefix="0" xfId="0"/>
    <xf numFmtId="0" fontId="1" fillId="2" borderId="5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3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top" wrapText="1"/>
    </xf>
    <xf numFmtId="0" fontId="7" fillId="0" borderId="6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A5276"/>
    <outlinePr summaryBelow="1" summaryRight="1"/>
    <pageSetUpPr/>
  </sheetPr>
  <dimension ref="A1:U8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6" customWidth="1" style="12" min="1" max="1"/>
    <col width="14" customWidth="1" style="12" min="2" max="2"/>
    <col width="16" customWidth="1" style="12" min="3" max="3"/>
    <col width="22" customWidth="1" style="12" min="4" max="4"/>
    <col width="14" customWidth="1" style="12" min="5" max="6"/>
    <col width="12" customWidth="1" style="12" min="7" max="7"/>
    <col width="10" customWidth="1" style="12" min="8" max="8"/>
    <col width="20" customWidth="1" style="12" min="9" max="9"/>
    <col width="18" customWidth="1" style="12" min="10" max="11"/>
    <col width="22" customWidth="1" style="12" min="12" max="12"/>
    <col width="20" customWidth="1" style="12" min="13" max="13"/>
    <col width="24" customWidth="1" style="12" min="14" max="14"/>
    <col width="18" customWidth="1" style="12" min="15" max="15"/>
    <col width="16" customWidth="1" style="12" min="16" max="16"/>
    <col width="14" customWidth="1" style="12" min="17" max="17"/>
    <col width="18" customWidth="1" style="12" min="18" max="18"/>
    <col width="22" customWidth="1" style="12" min="19" max="19"/>
    <col width="20" customWidth="1" style="12" min="20" max="20"/>
    <col width="24" customWidth="1" style="12" min="21" max="21"/>
    <col width="8.710000000000001" customWidth="1" style="12" min="22" max="26"/>
  </cols>
  <sheetData>
    <row r="1" ht="27.75" customHeight="1" s="12">
      <c r="A1" s="13" t="inlineStr">
        <is>
          <t>CC ERP — FILE 2: PROCUREMENT  |  PO_MASTER  |  Purchase Order Headers — One Row Per PO</t>
        </is>
      </c>
    </row>
    <row r="2" ht="39.75" customHeight="1" s="12">
      <c r="A2" s="5" t="inlineStr">
        <is>
          <t># PO Number</t>
        </is>
      </c>
      <c r="B2" s="5" t="inlineStr">
        <is>
          <t>⚠ PO Date</t>
        </is>
      </c>
      <c r="C2" s="5" t="inlineStr">
        <is>
          <t>→ Supplier Code</t>
        </is>
      </c>
      <c r="D2" s="5" t="inlineStr">
        <is>
          <t>← Supplier Name (Auto)</t>
        </is>
      </c>
      <c r="E2" s="5" t="inlineStr">
        <is>
          <t xml:space="preserve">PHYSICAL PO -IMAGE ATTACHED LINK  </t>
        </is>
      </c>
      <c r="F2" s="5" t="inlineStr">
        <is>
          <t>PO Type</t>
        </is>
      </c>
      <c r="G2" s="5" t="inlineStr">
        <is>
          <t>Season</t>
        </is>
      </c>
      <c r="H2" s="5" t="inlineStr">
        <is>
          <t>Currency</t>
        </is>
      </c>
      <c r="I2" s="5" t="inlineStr">
        <is>
          <t>∑ Total Base Value (₹)</t>
        </is>
      </c>
      <c r="J2" s="5" t="inlineStr">
        <is>
          <t>∑ Total GST (₹)</t>
        </is>
      </c>
      <c r="K2" s="5" t="inlineStr">
        <is>
          <t>∑ Grand Total (₹)</t>
        </is>
      </c>
      <c r="L2" s="5" t="inlineStr">
        <is>
          <t>Payment Terms</t>
        </is>
      </c>
      <c r="M2" s="5" t="inlineStr">
        <is>
          <t>Expected Delivery Date</t>
        </is>
      </c>
      <c r="N2" s="5" t="inlineStr">
        <is>
          <t>Delivery Address</t>
        </is>
      </c>
      <c r="O2" s="5" t="inlineStr">
        <is>
          <t>PO Status</t>
        </is>
      </c>
      <c r="P2" s="5" t="inlineStr">
        <is>
          <t>Approved By</t>
        </is>
      </c>
      <c r="Q2" s="5" t="inlineStr">
        <is>
          <t>Approval Date</t>
        </is>
      </c>
      <c r="R2" s="5" t="inlineStr">
        <is>
          <t>← GRN Status (Auto)</t>
        </is>
      </c>
      <c r="S2" s="5" t="inlineStr">
        <is>
          <t># Created By (Auto)</t>
        </is>
      </c>
      <c r="T2" s="5" t="inlineStr">
        <is>
          <t># Created Date (Auto)</t>
        </is>
      </c>
      <c r="U2" s="5" t="inlineStr">
        <is>
          <t>Remarks</t>
        </is>
      </c>
    </row>
    <row r="3" ht="30" customHeight="1" s="12">
      <c r="A3" s="7" t="inlineStr">
        <is>
          <t>AUTO. Format:
PO-2026-0001</t>
        </is>
      </c>
      <c r="B3" s="7" t="inlineStr">
        <is>
          <t>Date PO raised.
DD-MMM-YYYY</t>
        </is>
      </c>
      <c r="C3" s="7" t="inlineStr">
        <is>
          <t>FK → SUPPLIER_MASTER
(FILE 1C). Code only.</t>
        </is>
      </c>
      <c r="D3" s="7" t="inlineStr">
        <is>
          <t>GAS auto-fills
from Supplier Code</t>
        </is>
      </c>
      <c r="E3" s="7" t="inlineStr">
        <is>
          <t xml:space="preserve">PHYSICAL PO -IMAGE ATTACHED GOOGLE DRIVE LINK SAVE </t>
        </is>
      </c>
      <c r="F3" s="7" t="inlineStr">
        <is>
          <t>Fabric / Trim /
Packaging / Consumable
/ Services / Assets</t>
        </is>
      </c>
      <c r="G3" s="7" t="inlineStr">
        <is>
          <t>SS25 / AW25
SS26 / AW26
Year Round</t>
        </is>
      </c>
      <c r="H3" s="7" t="inlineStr">
        <is>
          <t>INR / USD
EUR / GBP</t>
        </is>
      </c>
      <c r="I3" s="7" t="inlineStr">
        <is>
          <t>Sum of all PO line
base values.
GAS auto.</t>
        </is>
      </c>
      <c r="J3" s="7" t="inlineStr">
        <is>
          <t>Sum of all GST
across lines.
GAS auto.</t>
        </is>
      </c>
      <c r="K3" s="7">
        <f> Base + GST.
GAS auto-formula.</f>
        <v/>
      </c>
      <c r="L3" s="7" t="inlineStr">
        <is>
          <t>30 Days / 45 Days /
60 Days / Advance 100%
/ 50%+50% / Against LC</t>
        </is>
      </c>
      <c r="M3" s="7" t="inlineStr">
        <is>
          <t>Agreed delivery at
factory gate.
DD-MMM-YYYY</t>
        </is>
      </c>
      <c r="N3" s="7" t="inlineStr">
        <is>
          <t>Factory address.
Usually Ludhiana.</t>
        </is>
      </c>
      <c r="O3" s="7" t="inlineStr">
        <is>
          <t>Draft / Sent /
Acknowledged /
Partially Received /
Fully Received /
Closed / Cancelled</t>
        </is>
      </c>
      <c r="P3" s="7" t="inlineStr">
        <is>
          <t>MD / Purchase Mgr
who approved.</t>
        </is>
      </c>
      <c r="Q3" s="7" t="inlineStr">
        <is>
          <t>Date approved
for sending.</t>
        </is>
      </c>
      <c r="R3" s="7" t="inlineStr">
        <is>
          <t>Pending / Partial /
Complete. GAS updates
from GRN module.</t>
        </is>
      </c>
      <c r="S3" s="7" t="inlineStr">
        <is>
          <t>Google email.
GAS auto-captures.</t>
        </is>
      </c>
      <c r="T3" s="7" t="inlineStr">
        <is>
          <t>GAS auto-sets
on creation.</t>
        </is>
      </c>
      <c r="U3" s="7" t="inlineStr">
        <is>
          <t>PO-level notes.
e.g. Urgent, Sample.</t>
        </is>
      </c>
    </row>
    <row r="4" ht="19.5" customHeight="1" s="12">
      <c r="A4" s="8" t="inlineStr">
        <is>
          <t>PO-2026-0001</t>
        </is>
      </c>
      <c r="B4" s="8" t="inlineStr">
        <is>
          <t>01-Mar-2026</t>
        </is>
      </c>
      <c r="C4" s="8" t="inlineStr">
        <is>
          <t>SUP-001</t>
        </is>
      </c>
      <c r="D4" s="8" t="n"/>
      <c r="E4" s="8" t="n"/>
      <c r="F4" s="8" t="inlineStr">
        <is>
          <t>Fabric</t>
        </is>
      </c>
      <c r="G4" s="8" t="inlineStr">
        <is>
          <t>SS26</t>
        </is>
      </c>
      <c r="H4" s="8" t="inlineStr">
        <is>
          <t>INR</t>
        </is>
      </c>
      <c r="I4" s="8" t="n"/>
      <c r="J4" s="8" t="n"/>
      <c r="K4" s="8" t="n"/>
      <c r="L4" s="8" t="inlineStr">
        <is>
          <t>30 Days Credit</t>
        </is>
      </c>
      <c r="M4" s="8" t="inlineStr">
        <is>
          <t>15-Mar-2026</t>
        </is>
      </c>
      <c r="N4" s="8" t="inlineStr">
        <is>
          <t>Phase 1 Factory, Ludhiana</t>
        </is>
      </c>
      <c r="O4" s="8" t="inlineStr">
        <is>
          <t>Draft</t>
        </is>
      </c>
      <c r="P4" s="8" t="n"/>
      <c r="Q4" s="8" t="n"/>
      <c r="R4" s="8" t="inlineStr">
        <is>
          <t>Pending</t>
        </is>
      </c>
      <c r="S4" s="8" t="n"/>
      <c r="T4" s="8" t="n"/>
      <c r="U4" s="8" t="inlineStr">
        <is>
          <t>Sample PO for knit fabric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</row>
    <row r="21" ht="15.75" customHeight="1" s="12"/>
    <row r="22" ht="15.75" customHeight="1" s="12"/>
    <row r="23" ht="15.75" customHeight="1" s="12"/>
    <row r="24" ht="15.75" customHeight="1" s="12"/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1">
    <mergeCell ref="A1:U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FF1A5276"/>
    <outlinePr summaryBelow="1" summaryRight="1"/>
    <pageSetUpPr/>
  </sheetPr>
  <dimension ref="A1:T8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4" customWidth="1" style="12" min="1" max="1"/>
    <col width="16" customWidth="1" style="12" min="2" max="2"/>
    <col width="10" customWidth="1" style="12" min="3" max="3"/>
    <col width="16" customWidth="1" style="12" min="4" max="4"/>
    <col width="14" customWidth="1" style="12" min="5" max="5"/>
    <col width="22" customWidth="1" style="12" min="6" max="6"/>
    <col width="12" customWidth="1" style="12" min="7" max="8"/>
    <col width="14" customWidth="1" style="12" min="9" max="9"/>
    <col width="12" customWidth="1" style="12" min="10" max="10"/>
    <col width="14" customWidth="1" style="12" min="11" max="11"/>
    <col width="16" customWidth="1" style="12" min="12" max="12"/>
    <col width="12" customWidth="1" style="12" min="13" max="13"/>
    <col width="18" customWidth="1" style="12" min="14" max="17"/>
    <col width="14" customWidth="1" style="12" min="18" max="18"/>
    <col width="16" customWidth="1" style="12" min="19" max="19"/>
    <col width="24" customWidth="1" style="12" min="20" max="20"/>
    <col width="8.710000000000001" customWidth="1" style="12" min="21" max="27"/>
  </cols>
  <sheetData>
    <row r="1" ht="27.75" customHeight="1" s="12">
      <c r="A1" s="13" t="inlineStr">
        <is>
          <t>CC ERP — FILE 2: PROCUREMENT  |  PO_LINE_ITEMS  |  One Row Per Item Per PO — FK to PO_MASTER</t>
        </is>
      </c>
    </row>
    <row r="2" ht="49.5" customHeight="1" s="12">
      <c r="A2" s="5" t="inlineStr">
        <is>
          <t># Line Code</t>
        </is>
      </c>
      <c r="B2" s="5" t="inlineStr">
        <is>
          <t>⚠ → PO Number</t>
        </is>
      </c>
      <c r="C2" s="5" t="inlineStr">
        <is>
          <t>Line No</t>
        </is>
      </c>
      <c r="D2" s="5" t="inlineStr">
        <is>
          <t>⚠ Item Code</t>
        </is>
      </c>
      <c r="E2" s="5" t="inlineStr">
        <is>
          <t>Item Master</t>
        </is>
      </c>
      <c r="F2" s="5" t="inlineStr">
        <is>
          <t>← Item Name (Auto)</t>
        </is>
      </c>
      <c r="G2" s="5" t="inlineStr">
        <is>
          <t xml:space="preserve">ITEM IMAGE </t>
        </is>
      </c>
      <c r="H2" s="5" t="inlineStr">
        <is>
          <t>← UOM (Auto)</t>
        </is>
      </c>
      <c r="I2" s="5" t="inlineStr">
        <is>
          <t>← HSN Code (Auto)</t>
        </is>
      </c>
      <c r="J2" s="5" t="inlineStr">
        <is>
          <t>← GST % (Auto)</t>
        </is>
      </c>
      <c r="K2" s="5" t="inlineStr">
        <is>
          <t>⚠ Qty Ordered</t>
        </is>
      </c>
      <c r="L2" s="5" t="inlineStr">
        <is>
          <t>⚠ Unit Price (₹)</t>
        </is>
      </c>
      <c r="M2" s="5" t="inlineStr">
        <is>
          <t>Discount %</t>
        </is>
      </c>
      <c r="N2" s="5" t="inlineStr">
        <is>
          <t>∑ Line Value (₹)</t>
        </is>
      </c>
      <c r="O2" s="5" t="inlineStr">
        <is>
          <t>∑ GST Amount (₹)</t>
        </is>
      </c>
      <c r="P2" s="5" t="inlineStr">
        <is>
          <t>∑ Total Line (₹)</t>
        </is>
      </c>
      <c r="Q2" s="5" t="inlineStr">
        <is>
          <t>← Qty Received (Auto)</t>
        </is>
      </c>
      <c r="R2" s="5" t="inlineStr">
        <is>
          <t>∑ Qty Pending</t>
        </is>
      </c>
      <c r="S2" s="5" t="inlineStr">
        <is>
          <t>Quality Status</t>
        </is>
      </c>
      <c r="T2" s="5" t="inlineStr">
        <is>
          <t>Remarks</t>
        </is>
      </c>
    </row>
    <row r="3" ht="83.25" customHeight="1" s="12">
      <c r="A3" s="7" t="inlineStr">
        <is>
          <t>AUTO.
POL-00001</t>
        </is>
      </c>
      <c r="B3" s="7" t="inlineStr">
        <is>
          <t>FK → PO_MASTER.
Must match PO No.</t>
        </is>
      </c>
      <c r="C3" s="7" t="inlineStr">
        <is>
          <t>Line sequence.
1, 2, 3…
GAS auto.</t>
        </is>
      </c>
      <c r="D3" s="7" t="inlineStr">
        <is>
          <t>Item code from
relevant master.
e.g. RM-FAB-001</t>
        </is>
      </c>
      <c r="E3" s="7" t="inlineStr">
        <is>
          <t>TRIM / FABRIC /
YARN / WOVEN /
CONSUMABLE /
PACKAGING</t>
        </is>
      </c>
      <c r="F3" s="7" t="inlineStr">
        <is>
          <t>GAS fills from
Item Code +
Item Master.</t>
        </is>
      </c>
      <c r="G3" s="7" t="inlineStr">
        <is>
          <t xml:space="preserve">IMAGE ATTACHED FROM GOOGLE DRIVE IN MASTERS OF EACH ITEM </t>
        </is>
      </c>
      <c r="H3" s="7" t="inlineStr">
        <is>
          <t>GAS fills
from Item Master.</t>
        </is>
      </c>
      <c r="I3" s="7" t="inlineStr">
        <is>
          <t>GAS fills
from Item Master.</t>
        </is>
      </c>
      <c r="J3" s="7" t="inlineStr">
        <is>
          <t>GAS fills
from HSN Master.</t>
        </is>
      </c>
      <c r="K3" s="7" t="inlineStr">
        <is>
          <t>Quantity in
item's UOM.</t>
        </is>
      </c>
      <c r="L3" s="7" t="inlineStr">
        <is>
          <t>Price per UOM
unit (excl GST).</t>
        </is>
      </c>
      <c r="M3" s="7" t="inlineStr">
        <is>
          <t>Line discount
% if any.</t>
        </is>
      </c>
      <c r="N3" s="7">
        <f>Qty×Price×(1-Disc%).
GAS formula.</f>
        <v/>
      </c>
      <c r="O3" s="7">
        <f>LineValue
×GST%.
GAS formula.</f>
        <v/>
      </c>
      <c r="P3" s="7">
        <f>LineValue
+GST.
GAS formula.</f>
        <v/>
      </c>
      <c r="Q3" s="7" t="inlineStr">
        <is>
          <t>Sum of GRN
receipts for
this PO line.</t>
        </is>
      </c>
      <c r="R3" s="7">
        <f>Ordered
-Received.
GAS formula.</f>
        <v/>
      </c>
      <c r="S3" s="7" t="inlineStr">
        <is>
          <t>Pending / Pass /
Partial Pass /
Fail</t>
        </is>
      </c>
      <c r="T3" s="7" t="inlineStr">
        <is>
          <t>Shade notes,
size breakup
etc.</t>
        </is>
      </c>
    </row>
    <row r="4" ht="19.5" customHeight="1" s="12">
      <c r="A4" s="8" t="inlineStr">
        <is>
          <t>POL-00001</t>
        </is>
      </c>
      <c r="B4" s="8" t="inlineStr">
        <is>
          <t>PO-2026-0001</t>
        </is>
      </c>
      <c r="C4" s="8" t="n">
        <v>1</v>
      </c>
      <c r="D4" s="8" t="inlineStr">
        <is>
          <t>RM-FAB-001</t>
        </is>
      </c>
      <c r="E4" s="8" t="inlineStr">
        <is>
          <t>FABRIC</t>
        </is>
      </c>
      <c r="F4" s="8" t="n"/>
      <c r="G4" s="8" t="n"/>
      <c r="H4" s="8" t="n"/>
      <c r="I4" s="8" t="n"/>
      <c r="J4" s="8" t="n"/>
      <c r="K4" s="8" t="n">
        <v>500</v>
      </c>
      <c r="L4" s="8" t="n">
        <v>220</v>
      </c>
      <c r="M4" s="8" t="n">
        <v>0</v>
      </c>
      <c r="N4" s="8">
        <f>K4*L4*(1-M4/100)</f>
        <v/>
      </c>
      <c r="O4" s="8">
        <f>N4*J4/100</f>
        <v/>
      </c>
      <c r="P4" s="8">
        <f>N4+O4</f>
        <v/>
      </c>
      <c r="Q4" s="8" t="n"/>
      <c r="R4" s="8">
        <f>K4-Q4</f>
        <v/>
      </c>
      <c r="S4" s="8" t="inlineStr">
        <is>
          <t>Pending</t>
        </is>
      </c>
      <c r="T4" s="8" t="inlineStr">
        <is>
          <t>Single Jersey Ecru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</row>
    <row r="21" ht="15.75" customHeight="1" s="12"/>
    <row r="22" ht="15.75" customHeight="1" s="12"/>
    <row r="23" ht="15.75" customHeight="1" s="12"/>
    <row r="24" ht="15.75" customHeight="1" s="12"/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1">
    <mergeCell ref="A1:T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0E6655"/>
    <outlinePr summaryBelow="1" summaryRight="1"/>
    <pageSetUpPr/>
  </sheetPr>
  <dimension ref="A1:Q8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8" customWidth="1" style="12" min="1" max="1"/>
    <col width="14" customWidth="1" style="12" min="2" max="2"/>
    <col width="16" customWidth="1" style="12" min="3" max="3"/>
    <col width="18" customWidth="1" style="12" min="4" max="4"/>
    <col width="24" customWidth="1" style="12" min="5" max="5"/>
    <col width="16" customWidth="1" style="12" min="6" max="6"/>
    <col width="18" customWidth="1" style="12" min="7" max="7"/>
    <col width="14" customWidth="1" style="12" min="8" max="9"/>
    <col width="22" customWidth="1" style="12" min="10" max="12"/>
    <col width="18" customWidth="1" style="12" min="13" max="13"/>
    <col width="20" customWidth="1" style="12" min="14" max="14"/>
    <col width="22" customWidth="1" style="12" min="15" max="15"/>
    <col width="20" customWidth="1" style="12" min="16" max="16"/>
    <col width="26" customWidth="1" style="12" min="17" max="17"/>
    <col width="8.710000000000001" customWidth="1" style="12" min="18" max="28"/>
  </cols>
  <sheetData>
    <row r="1" ht="27.75" customHeight="1" s="12">
      <c r="A1" s="13" t="inlineStr">
        <is>
          <t>CC ERP — FILE 2: PROCUREMENT  |  GRN_MASTER  |  Goods Receipt Note Headers — One Row Per Delivery</t>
        </is>
      </c>
    </row>
    <row r="2" ht="49.5" customHeight="1" s="12">
      <c r="A2" s="5" t="inlineStr">
        <is>
          <t># GRN Number</t>
        </is>
      </c>
      <c r="B2" s="5" t="inlineStr">
        <is>
          <t>⚠ GRN Date</t>
        </is>
      </c>
      <c r="C2" s="5" t="inlineStr">
        <is>
          <t>⚠ → PO Number</t>
        </is>
      </c>
      <c r="D2" s="5" t="inlineStr">
        <is>
          <t>← Supplier Code (Auto)</t>
        </is>
      </c>
      <c r="E2" s="5" t="inlineStr">
        <is>
          <t>← Supplier Name (Auto)</t>
        </is>
      </c>
      <c r="F2" s="5" t="inlineStr">
        <is>
          <t>Vehicle No</t>
        </is>
      </c>
      <c r="G2" s="5" t="inlineStr">
        <is>
          <t>DC Number</t>
        </is>
      </c>
      <c r="H2" s="5" t="inlineStr">
        <is>
          <t>DC Date</t>
        </is>
      </c>
      <c r="I2" s="5" t="inlineStr">
        <is>
          <t>Gate Pass No</t>
        </is>
      </c>
      <c r="J2" s="5" t="inlineStr">
        <is>
          <t xml:space="preserve"> GATE INWARD ENTRY  CHALLAN  IMAGE LINK</t>
        </is>
      </c>
      <c r="K2" s="5" t="inlineStr">
        <is>
          <t>GATE ENTRY  CHALLAN  IMAGE  TIMESTAMP</t>
        </is>
      </c>
      <c r="L2" s="5" t="inlineStr">
        <is>
          <t>⚠ GRN Status</t>
        </is>
      </c>
      <c r="M2" s="5" t="inlineStr">
        <is>
          <t>Stored By</t>
        </is>
      </c>
      <c r="N2" s="5" t="inlineStr">
        <is>
          <t>→ Storage Location</t>
        </is>
      </c>
      <c r="O2" s="5" t="inlineStr">
        <is>
          <t># Created By (Auto)</t>
        </is>
      </c>
      <c r="P2" s="5" t="inlineStr">
        <is>
          <t># Created Date (Auto)</t>
        </is>
      </c>
      <c r="Q2" s="5" t="inlineStr">
        <is>
          <t>Remarks</t>
        </is>
      </c>
    </row>
    <row r="3" ht="30" customHeight="1" s="12">
      <c r="A3" s="7" t="inlineStr">
        <is>
          <t>AUTO.
GRN-2026-0001</t>
        </is>
      </c>
      <c r="B3" s="7" t="inlineStr">
        <is>
          <t>Date goods
arrived at
factory.</t>
        </is>
      </c>
      <c r="C3" s="7" t="inlineStr">
        <is>
          <t>FK → PO_MASTER.
Entering PO No
auto-fills supplier.</t>
        </is>
      </c>
      <c r="D3" s="7" t="inlineStr">
        <is>
          <t>GAS fills
from PO_MASTER.</t>
        </is>
      </c>
      <c r="E3" s="7" t="inlineStr">
        <is>
          <t>GAS fills
from PO_MASTER.</t>
        </is>
      </c>
      <c r="F3" s="7" t="inlineStr">
        <is>
          <t>Truck / vehicle
number for
logistics.</t>
        </is>
      </c>
      <c r="G3" s="7" t="inlineStr">
        <is>
          <t>Supplier's
Delivery Challan
number.</t>
        </is>
      </c>
      <c r="H3" s="7" t="inlineStr">
        <is>
          <t>Date on
supplier's
challan.</t>
        </is>
      </c>
      <c r="I3" s="7" t="inlineStr">
        <is>
          <t>Factory gate
entry pass
number.</t>
        </is>
      </c>
      <c r="J3" s="7" t="inlineStr">
        <is>
          <t>CHALAAN /IMAGE LINK OF GOOLE DRIVE FOLDER</t>
        </is>
      </c>
      <c r="K3" s="7" t="inlineStr">
        <is>
          <t>FK → GATE INWARD ENTRY TIMESTAMP</t>
        </is>
      </c>
      <c r="L3" s="7" t="inlineStr">
        <is>
          <t>Draft / QC Pending /
QC Pass / QC Fail /
Conditionally Accepted /
Stored</t>
        </is>
      </c>
      <c r="M3" s="7" t="inlineStr">
        <is>
          <t>Storekeeper
who received
goods.</t>
        </is>
      </c>
      <c r="N3" s="7" t="inlineStr">
        <is>
          <t>FK → WAREHOUSE_MASTER
(FILE 4 Inventory).
Code only.</t>
        </is>
      </c>
      <c r="O3" s="7" t="inlineStr">
        <is>
          <t>Google email.
GAS captures.</t>
        </is>
      </c>
      <c r="P3" s="7" t="inlineStr">
        <is>
          <t>GAS auto-sets
on creation.</t>
        </is>
      </c>
      <c r="Q3" s="7" t="inlineStr">
        <is>
          <t>Receipt notes.
e.g. Short shipment.</t>
        </is>
      </c>
    </row>
    <row r="4" ht="19.5" customHeight="1" s="12">
      <c r="A4" s="8" t="inlineStr">
        <is>
          <t>GRN-2026-0001</t>
        </is>
      </c>
      <c r="B4" s="8" t="inlineStr">
        <is>
          <t>16-Mar-2026</t>
        </is>
      </c>
      <c r="C4" s="8" t="inlineStr">
        <is>
          <t>PO-2026-0001</t>
        </is>
      </c>
      <c r="D4" s="8" t="n"/>
      <c r="E4" s="8" t="n"/>
      <c r="F4" s="8" t="inlineStr">
        <is>
          <t>PB-09-AB-1234</t>
        </is>
      </c>
      <c r="G4" s="8" t="inlineStr">
        <is>
          <t>DC-SUP001-0089</t>
        </is>
      </c>
      <c r="H4" s="8" t="inlineStr">
        <is>
          <t>15-Mar-2026</t>
        </is>
      </c>
      <c r="I4" s="8" t="inlineStr">
        <is>
          <t>GP-0234</t>
        </is>
      </c>
      <c r="J4" s="8" t="n"/>
      <c r="K4" s="8" t="n"/>
      <c r="L4" s="8" t="inlineStr">
        <is>
          <t>QC Pending</t>
        </is>
      </c>
      <c r="M4" s="8" t="inlineStr">
        <is>
          <t>Rakesh Kumar</t>
        </is>
      </c>
      <c r="N4" s="8" t="inlineStr">
        <is>
          <t>WH-FABRIC</t>
        </is>
      </c>
      <c r="O4" s="8" t="n"/>
      <c r="P4" s="8" t="n"/>
      <c r="Q4" s="8" t="inlineStr">
        <is>
          <t>All rolls intact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</row>
    <row r="21" ht="15.75" customHeight="1" s="12"/>
    <row r="22" ht="15.75" customHeight="1" s="12"/>
    <row r="23" ht="15.75" customHeight="1" s="12"/>
    <row r="24" ht="15.75" customHeight="1" s="12"/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1">
    <mergeCell ref="A1:Q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0E6655"/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6" customWidth="1" style="12" min="1" max="1"/>
    <col width="18" customWidth="1" style="12" min="2" max="3"/>
    <col width="16" customWidth="1" style="12" min="4" max="4"/>
    <col width="12" customWidth="1" style="12" min="5" max="5"/>
    <col width="16" customWidth="1" style="12" min="6" max="6"/>
    <col width="14" customWidth="1" style="12" min="7" max="7"/>
    <col width="22" customWidth="1" style="12" min="8" max="8"/>
    <col width="12" customWidth="1" style="12" min="9" max="9"/>
    <col width="14" customWidth="1" style="12" min="10" max="12"/>
    <col width="16" customWidth="1" style="12" min="13" max="13"/>
    <col width="26" customWidth="1" style="12" min="14" max="14"/>
    <col width="22" customWidth="1" style="12" min="15" max="15"/>
    <col width="12" customWidth="1" style="12" min="16" max="16"/>
    <col width="18" customWidth="1" style="12" min="17" max="17"/>
    <col width="16" customWidth="1" style="12" min="18" max="18"/>
    <col width="26" customWidth="1" style="12" min="19" max="19"/>
    <col width="8.710000000000001" customWidth="1" style="12" min="20" max="27"/>
  </cols>
  <sheetData>
    <row r="1" ht="27.75" customHeight="1" s="12">
      <c r="A1" s="13" t="inlineStr">
        <is>
          <t>CC ERP — FILE 2: PROCUREMENT  |  GRN_LINE_ITEMS  |  One Row Per Item Per GRN — Records Actual Receipt vs PO</t>
        </is>
      </c>
    </row>
    <row r="2" ht="49.5" customHeight="1" s="12">
      <c r="A2" s="5" t="inlineStr">
        <is>
          <t># GRN Line Code</t>
        </is>
      </c>
      <c r="B2" s="5" t="inlineStr">
        <is>
          <t xml:space="preserve">ITEM IMAGE </t>
        </is>
      </c>
      <c r="C2" s="5" t="inlineStr">
        <is>
          <t>⚠ → GRN Number</t>
        </is>
      </c>
      <c r="D2" s="5" t="inlineStr">
        <is>
          <t>→ PO Number</t>
        </is>
      </c>
      <c r="E2" s="5" t="inlineStr">
        <is>
          <t>PO Line No</t>
        </is>
      </c>
      <c r="F2" s="5" t="inlineStr">
        <is>
          <t>⚠ Item Code</t>
        </is>
      </c>
      <c r="G2" s="5" t="inlineStr">
        <is>
          <t>Item Master</t>
        </is>
      </c>
      <c r="H2" s="5" t="inlineStr">
        <is>
          <t>← Item Name (Auto)</t>
        </is>
      </c>
      <c r="I2" s="5" t="inlineStr">
        <is>
          <t>← UOM (Auto)</t>
        </is>
      </c>
      <c r="J2" s="5" t="inlineStr">
        <is>
          <t>← PO Qty (Auto)</t>
        </is>
      </c>
      <c r="K2" s="5" t="inlineStr">
        <is>
          <t>⚠ Received Qty</t>
        </is>
      </c>
      <c r="L2" s="5" t="inlineStr">
        <is>
          <t>Accepted Qty</t>
        </is>
      </c>
      <c r="M2" s="5" t="inlineStr">
        <is>
          <t>∑ Rejected Qty</t>
        </is>
      </c>
      <c r="N2" s="5" t="inlineStr">
        <is>
          <t>Rejection Reason</t>
        </is>
      </c>
      <c r="O2" s="5" t="inlineStr">
        <is>
          <t>Batch / Lot No</t>
        </is>
      </c>
      <c r="P2" s="5" t="inlineStr">
        <is>
          <t>Roll Count</t>
        </is>
      </c>
      <c r="Q2" s="5" t="inlineStr">
        <is>
          <t>Avg Roll Length (M)</t>
        </is>
      </c>
      <c r="R2" s="5" t="inlineStr">
        <is>
          <t>QC Status</t>
        </is>
      </c>
      <c r="S2" s="5" t="inlineStr">
        <is>
          <t>Remarks</t>
        </is>
      </c>
    </row>
    <row r="3" ht="30" customHeight="1" s="12">
      <c r="A3" s="7" t="inlineStr">
        <is>
          <t>AUTO.
GRL-00001</t>
        </is>
      </c>
      <c r="B3" s="7" t="inlineStr">
        <is>
          <t xml:space="preserve">IMAGE ATTACHED FROM GOOGLE DRIVE IN MASTERS OF EACH ITEM </t>
        </is>
      </c>
      <c r="C3" s="7" t="inlineStr">
        <is>
          <t>FK → GRN_MASTER.</t>
        </is>
      </c>
      <c r="D3" s="7" t="inlineStr">
        <is>
          <t>FK → PO_MASTER.
For cross-reference.</t>
        </is>
      </c>
      <c r="E3" s="7" t="inlineStr">
        <is>
          <t>PO line this
receipt is
against.</t>
        </is>
      </c>
      <c r="F3" s="7" t="inlineStr">
        <is>
          <t>Item code.
e.g. RM-FAB-001</t>
        </is>
      </c>
      <c r="G3" s="7" t="inlineStr">
        <is>
          <t>FABRIC / TRIM /
YARN / WOVEN /
CONSUMABLE /
PACKAGING</t>
        </is>
      </c>
      <c r="H3" s="7" t="inlineStr">
        <is>
          <t>GAS auto-fills
from Item Code
+ Master.</t>
        </is>
      </c>
      <c r="I3" s="7" t="inlineStr">
        <is>
          <t>GAS auto-fills
from Item Master.</t>
        </is>
      </c>
      <c r="J3" s="7" t="inlineStr">
        <is>
          <t>GAS fills from
matching PO line
for reference.</t>
        </is>
      </c>
      <c r="K3" s="7" t="inlineStr">
        <is>
          <t>Actual qty
physically
received.</t>
        </is>
      </c>
      <c r="L3" s="7" t="inlineStr">
        <is>
          <t>Qty accepted
after QC.
Set by QC team.</t>
        </is>
      </c>
      <c r="M3" s="7">
        <f>Received
-Accepted.
GAS formula.</f>
        <v/>
      </c>
      <c r="N3" s="7" t="inlineStr">
        <is>
          <t>Why rejected.
e.g. Shade
variation, GSM.</t>
        </is>
      </c>
      <c r="O3" s="7" t="inlineStr">
        <is>
          <t>Supplier batch /
lot ref. Critical
for traceability.</t>
        </is>
      </c>
      <c r="P3" s="7" t="inlineStr">
        <is>
          <t>No. of rolls
received.
(Fabric only)</t>
        </is>
      </c>
      <c r="Q3" s="7" t="inlineStr">
        <is>
          <t>Avg meters
per roll.
(Fabric only)</t>
        </is>
      </c>
      <c r="R3" s="7" t="inlineStr">
        <is>
          <t>Pending / Pass /
Fail / Conditional</t>
        </is>
      </c>
      <c r="S3" s="7" t="inlineStr">
        <is>
          <t>Line-level
receipt notes.</t>
        </is>
      </c>
    </row>
    <row r="4" ht="19.5" customHeight="1" s="12">
      <c r="A4" s="8" t="inlineStr">
        <is>
          <t>GRL-00001</t>
        </is>
      </c>
      <c r="B4" s="8" t="n"/>
      <c r="C4" s="8" t="inlineStr">
        <is>
          <t>GRN-2026-0001</t>
        </is>
      </c>
      <c r="D4" s="8" t="inlineStr">
        <is>
          <t>PO-2026-0001</t>
        </is>
      </c>
      <c r="E4" s="8" t="n">
        <v>1</v>
      </c>
      <c r="F4" s="8" t="inlineStr">
        <is>
          <t>RM-FAB-001</t>
        </is>
      </c>
      <c r="G4" s="8" t="inlineStr">
        <is>
          <t>FABRIC</t>
        </is>
      </c>
      <c r="H4" s="8" t="n"/>
      <c r="I4" s="8" t="n"/>
      <c r="J4" s="8" t="n">
        <v>500</v>
      </c>
      <c r="K4" s="8" t="n">
        <v>498</v>
      </c>
      <c r="L4" s="8" t="n">
        <v>495</v>
      </c>
      <c r="M4" s="8">
        <f>L4-K4</f>
        <v/>
      </c>
      <c r="N4" s="8" t="inlineStr">
        <is>
          <t>Minor GSM variance on 3 rolls</t>
        </is>
      </c>
      <c r="O4" s="8" t="inlineStr">
        <is>
          <t>LOT-2026-FAB-089</t>
        </is>
      </c>
      <c r="P4" s="8" t="n">
        <v>42</v>
      </c>
      <c r="Q4" s="8" t="n">
        <v>11.8</v>
      </c>
      <c r="R4" s="8" t="inlineStr">
        <is>
          <t>Pending</t>
        </is>
      </c>
      <c r="S4" s="8" t="inlineStr">
        <is>
          <t>3 rolls slight GSM low — QC to check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</row>
    <row r="21" ht="15.75" customHeight="1" s="12"/>
    <row r="22" ht="15.75" customHeight="1" s="12"/>
    <row r="23" ht="15.75" customHeight="1" s="12"/>
    <row r="24" ht="15.75" customHeight="1" s="12"/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1">
    <mergeCell ref="A1:S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424949"/>
    <outlinePr summaryBelow="1" summaryRight="1"/>
    <pageSetUpPr/>
  </sheetPr>
  <dimension ref="A1:L11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4" customWidth="1" style="12" min="1" max="1"/>
    <col width="18" customWidth="1" style="12" min="2" max="2"/>
    <col width="22" customWidth="1" style="12" min="3" max="4"/>
    <col width="18" customWidth="1" style="12" min="5" max="6"/>
    <col width="16" customWidth="1" style="12" min="7" max="7"/>
    <col width="14" customWidth="1" style="12" min="8" max="9"/>
    <col width="12" customWidth="1" style="12" min="10" max="10"/>
    <col width="10" customWidth="1" style="12" min="11" max="11"/>
    <col width="50" customWidth="1" style="12" min="12" max="12"/>
    <col width="8.710000000000001" customWidth="1" style="12" min="13" max="26"/>
  </cols>
  <sheetData>
    <row r="1" ht="27.75" customHeight="1" s="12">
      <c r="A1" s="13" t="inlineStr">
        <is>
          <t>CC ERP — FILE 2: PROCUREMENT  |  MASTER_RELATIONS_F2  |  New FK Relations for FILE 2 Procurement — Appends REL-047 onwards</t>
        </is>
      </c>
    </row>
    <row r="2" ht="39.75" customHeight="1" s="12">
      <c r="A2" s="5" t="inlineStr">
        <is>
          <t>🔑 Relation Code</t>
        </is>
      </c>
      <c r="B2" s="5" t="inlineStr">
        <is>
          <t>→ Parent Sheet</t>
        </is>
      </c>
      <c r="C2" s="5" t="inlineStr">
        <is>
          <t>→ Parent Column</t>
        </is>
      </c>
      <c r="D2" s="5" t="inlineStr">
        <is>
          <t>← Referenced Sheet</t>
        </is>
      </c>
      <c r="E2" s="5" t="inlineStr">
        <is>
          <t>← Ref Code Col</t>
        </is>
      </c>
      <c r="F2" s="5" t="inlineStr">
        <is>
          <t>← Ref Display Col</t>
        </is>
      </c>
      <c r="G2" s="5" t="inlineStr">
        <is>
          <t>⟷ Allow Create New</t>
        </is>
      </c>
      <c r="H2" s="5" t="inlineStr">
        <is>
          <t>⚙ Multi-Select</t>
        </is>
      </c>
      <c r="I2" s="5" t="inlineStr">
        <is>
          <t>⚙ Cross-File</t>
        </is>
      </c>
      <c r="J2" s="5" t="inlineStr">
        <is>
          <t>⚙ Ref File Label</t>
        </is>
      </c>
      <c r="K2" s="5" t="inlineStr">
        <is>
          <t>Active</t>
        </is>
      </c>
      <c r="L2" s="5" t="inlineStr">
        <is>
          <t>Notes</t>
        </is>
      </c>
    </row>
    <row r="3" ht="30" customHeight="1" s="12">
      <c r="A3" s="7" t="inlineStr">
        <is>
          <t>REL-047 onwards
for FILE 2</t>
        </is>
      </c>
      <c r="B3" s="7" t="inlineStr">
        <is>
          <t>Sheet containing
the FK column</t>
        </is>
      </c>
      <c r="C3" s="7" t="inlineStr">
        <is>
          <t>Column that stores
the code (FK)</t>
        </is>
      </c>
      <c r="D3" s="7" t="inlineStr">
        <is>
          <t>Master being
referenced</t>
        </is>
      </c>
      <c r="E3" s="7" t="inlineStr">
        <is>
          <t>Code column
in referenced sheet</t>
        </is>
      </c>
      <c r="F3" s="7" t="inlineStr">
        <is>
          <t>Display name
col to auto-fill</t>
        </is>
      </c>
      <c r="G3" s="7" t="inlineStr">
        <is>
          <t>Can user create
new record inline?
Yes / No</t>
        </is>
      </c>
      <c r="H3" s="7" t="inlineStr">
        <is>
          <t>Is this a
multi-select
field?</t>
        </is>
      </c>
      <c r="I3" s="7" t="inlineStr">
        <is>
          <t>Cross-file
lookup?
Yes / No</t>
        </is>
      </c>
      <c r="J3" s="7" t="inlineStr">
        <is>
          <t>Which file
it lives in</t>
        </is>
      </c>
      <c r="K3" s="7" t="inlineStr">
        <is>
          <t>Yes / No</t>
        </is>
      </c>
      <c r="L3" s="7" t="inlineStr">
        <is>
          <t>Additional rules
or GAS behaviour</t>
        </is>
      </c>
    </row>
    <row r="4" ht="31.5" customHeight="1" s="12">
      <c r="A4" s="10" t="inlineStr">
        <is>
          <t>REL-047</t>
        </is>
      </c>
      <c r="B4" s="10" t="inlineStr">
        <is>
          <t>PO_MASTER</t>
        </is>
      </c>
      <c r="C4" s="10" t="inlineStr">
        <is>
          <t>→ Supplier Code</t>
        </is>
      </c>
      <c r="D4" s="10" t="inlineStr">
        <is>
          <t>SUPPLIER_MASTER</t>
        </is>
      </c>
      <c r="E4" s="10" t="inlineStr">
        <is>
          <t>Supplier Code</t>
        </is>
      </c>
      <c r="F4" s="10" t="inlineStr">
        <is>
          <t>Supplier Name</t>
        </is>
      </c>
      <c r="G4" s="10" t="inlineStr">
        <is>
          <t>No</t>
        </is>
      </c>
      <c r="H4" s="10" t="inlineStr">
        <is>
          <t>No</t>
        </is>
      </c>
      <c r="I4" s="10" t="inlineStr">
        <is>
          <t>Yes</t>
        </is>
      </c>
      <c r="J4" s="10" t="inlineStr">
        <is>
          <t>FILE 1C</t>
        </is>
      </c>
      <c r="K4" s="10" t="inlineStr">
        <is>
          <t>Yes</t>
        </is>
      </c>
      <c r="L4" s="10" t="inlineStr">
        <is>
          <t>Cross-file. GAS caches via PropertiesService daily 7am.</t>
        </is>
      </c>
    </row>
    <row r="5" ht="31.5" customHeight="1" s="12">
      <c r="A5" s="11" t="inlineStr">
        <is>
          <t>REL-048</t>
        </is>
      </c>
      <c r="B5" s="11" t="inlineStr">
        <is>
          <t>PO_LINE_ITEMS</t>
        </is>
      </c>
      <c r="C5" s="11" t="inlineStr">
        <is>
          <t>→ PO Number</t>
        </is>
      </c>
      <c r="D5" s="11" t="inlineStr">
        <is>
          <t>PO_MASTER</t>
        </is>
      </c>
      <c r="E5" s="11" t="inlineStr">
        <is>
          <t>PO Number</t>
        </is>
      </c>
      <c r="F5" s="11" t="inlineStr">
        <is>
          <t>—</t>
        </is>
      </c>
      <c r="G5" s="11" t="inlineStr">
        <is>
          <t>No</t>
        </is>
      </c>
      <c r="H5" s="11" t="inlineStr">
        <is>
          <t>No</t>
        </is>
      </c>
      <c r="I5" s="11" t="inlineStr">
        <is>
          <t>No</t>
        </is>
      </c>
      <c r="J5" s="11" t="inlineStr">
        <is>
          <t>FILE 2</t>
        </is>
      </c>
      <c r="K5" s="11" t="inlineStr">
        <is>
          <t>Yes</t>
        </is>
      </c>
      <c r="L5" s="11" t="inlineStr">
        <is>
          <t>Same-file FK. Validates PO exists before saving line.</t>
        </is>
      </c>
    </row>
    <row r="6" ht="31.5" customHeight="1" s="12">
      <c r="A6" s="10" t="inlineStr">
        <is>
          <t>REL-049</t>
        </is>
      </c>
      <c r="B6" s="10" t="inlineStr">
        <is>
          <t>PO_LINE_ITEMS</t>
        </is>
      </c>
      <c r="C6" s="10" t="inlineStr">
        <is>
          <t>⚠ Item Code</t>
        </is>
      </c>
      <c r="D6" s="10" t="inlineStr">
        <is>
          <t>[DYNAMIC]</t>
        </is>
      </c>
      <c r="E6" s="10" t="inlineStr">
        <is>
          <t>Item Code</t>
        </is>
      </c>
      <c r="F6" s="10" t="inlineStr">
        <is>
          <t>Item Name</t>
        </is>
      </c>
      <c r="G6" s="10" t="inlineStr">
        <is>
          <t>No</t>
        </is>
      </c>
      <c r="H6" s="10" t="inlineStr">
        <is>
          <t>No</t>
        </is>
      </c>
      <c r="I6" s="10" t="inlineStr">
        <is>
          <t>Yes</t>
        </is>
      </c>
      <c r="J6" s="10" t="inlineStr">
        <is>
          <t>FILE 1A</t>
        </is>
      </c>
      <c r="K6" s="10" t="inlineStr">
        <is>
          <t>Yes</t>
        </is>
      </c>
      <c r="L6" s="10" t="inlineStr">
        <is>
          <t>Poly-FK. GAS routes to TRIM/FABRIC/YARN/WOVEN/CON/PKG based on 'Item Master' col.</t>
        </is>
      </c>
    </row>
    <row r="7" ht="31.5" customHeight="1" s="12">
      <c r="A7" s="11" t="inlineStr">
        <is>
          <t>REL-050</t>
        </is>
      </c>
      <c r="B7" s="11" t="inlineStr">
        <is>
          <t>GRN_MASTER</t>
        </is>
      </c>
      <c r="C7" s="11" t="inlineStr">
        <is>
          <t>→ PO Number</t>
        </is>
      </c>
      <c r="D7" s="11" t="inlineStr">
        <is>
          <t>PO_MASTER</t>
        </is>
      </c>
      <c r="E7" s="11" t="inlineStr">
        <is>
          <t>PO Number</t>
        </is>
      </c>
      <c r="F7" s="11" t="inlineStr">
        <is>
          <t>—</t>
        </is>
      </c>
      <c r="G7" s="11" t="inlineStr">
        <is>
          <t>No</t>
        </is>
      </c>
      <c r="H7" s="11" t="inlineStr">
        <is>
          <t>No</t>
        </is>
      </c>
      <c r="I7" s="11" t="inlineStr">
        <is>
          <t>No</t>
        </is>
      </c>
      <c r="J7" s="11" t="inlineStr">
        <is>
          <t>FILE 2</t>
        </is>
      </c>
      <c r="K7" s="11" t="inlineStr">
        <is>
          <t>Yes</t>
        </is>
      </c>
      <c r="L7" s="11" t="inlineStr">
        <is>
          <t>Same-file FK. Auto-fills Supplier Code + Name from PO.</t>
        </is>
      </c>
    </row>
    <row r="8" ht="31.5" customHeight="1" s="12">
      <c r="A8" s="10" t="inlineStr">
        <is>
          <t>REL-051</t>
        </is>
      </c>
      <c r="B8" s="10" t="inlineStr">
        <is>
          <t>GRN_MASTER</t>
        </is>
      </c>
      <c r="C8" s="10" t="inlineStr">
        <is>
          <t>→ Storage Location</t>
        </is>
      </c>
      <c r="D8" s="10" t="inlineStr">
        <is>
          <t>WAREHOUSE_MASTER</t>
        </is>
      </c>
      <c r="E8" s="10" t="inlineStr">
        <is>
          <t>Location Code</t>
        </is>
      </c>
      <c r="F8" s="10" t="inlineStr">
        <is>
          <t>Location Name</t>
        </is>
      </c>
      <c r="G8" s="10" t="inlineStr">
        <is>
          <t>No</t>
        </is>
      </c>
      <c r="H8" s="10" t="inlineStr">
        <is>
          <t>No</t>
        </is>
      </c>
      <c r="I8" s="10" t="inlineStr">
        <is>
          <t>Yes</t>
        </is>
      </c>
      <c r="J8" s="10" t="inlineStr">
        <is>
          <t>FILE 4</t>
        </is>
      </c>
      <c r="K8" s="10" t="inlineStr">
        <is>
          <t>Yes</t>
        </is>
      </c>
      <c r="L8" s="10" t="inlineStr">
        <is>
          <t>Cross-file to Inventory. GAS caches.</t>
        </is>
      </c>
    </row>
    <row r="9" ht="31.5" customHeight="1" s="12">
      <c r="A9" s="11" t="inlineStr">
        <is>
          <t>REL-052</t>
        </is>
      </c>
      <c r="B9" s="11" t="inlineStr">
        <is>
          <t>GRN_LINE_ITEMS</t>
        </is>
      </c>
      <c r="C9" s="11" t="inlineStr">
        <is>
          <t>→ GRN Number</t>
        </is>
      </c>
      <c r="D9" s="11" t="inlineStr">
        <is>
          <t>GRN_MASTER</t>
        </is>
      </c>
      <c r="E9" s="11" t="inlineStr">
        <is>
          <t>GRN Number</t>
        </is>
      </c>
      <c r="F9" s="11" t="inlineStr">
        <is>
          <t>—</t>
        </is>
      </c>
      <c r="G9" s="11" t="inlineStr">
        <is>
          <t>No</t>
        </is>
      </c>
      <c r="H9" s="11" t="inlineStr">
        <is>
          <t>No</t>
        </is>
      </c>
      <c r="I9" s="11" t="inlineStr">
        <is>
          <t>No</t>
        </is>
      </c>
      <c r="J9" s="11" t="inlineStr">
        <is>
          <t>FILE 2</t>
        </is>
      </c>
      <c r="K9" s="11" t="inlineStr">
        <is>
          <t>Yes</t>
        </is>
      </c>
      <c r="L9" s="11" t="inlineStr">
        <is>
          <t>Same-file FK.</t>
        </is>
      </c>
    </row>
    <row r="10" ht="31.5" customHeight="1" s="12">
      <c r="A10" s="10" t="inlineStr">
        <is>
          <t>REL-053</t>
        </is>
      </c>
      <c r="B10" s="10" t="inlineStr">
        <is>
          <t>GRN_LINE_ITEMS</t>
        </is>
      </c>
      <c r="C10" s="10" t="inlineStr">
        <is>
          <t>→ PO Number</t>
        </is>
      </c>
      <c r="D10" s="10" t="inlineStr">
        <is>
          <t>PO_MASTER</t>
        </is>
      </c>
      <c r="E10" s="10" t="inlineStr">
        <is>
          <t>PO Number</t>
        </is>
      </c>
      <c r="F10" s="10" t="inlineStr">
        <is>
          <t>—</t>
        </is>
      </c>
      <c r="G10" s="10" t="inlineStr">
        <is>
          <t>No</t>
        </is>
      </c>
      <c r="H10" s="10" t="inlineStr">
        <is>
          <t>No</t>
        </is>
      </c>
      <c r="I10" s="10" t="inlineStr">
        <is>
          <t>No</t>
        </is>
      </c>
      <c r="J10" s="10" t="inlineStr">
        <is>
          <t>FILE 2</t>
        </is>
      </c>
      <c r="K10" s="10" t="inlineStr">
        <is>
          <t>Yes</t>
        </is>
      </c>
      <c r="L10" s="10" t="inlineStr">
        <is>
          <t>For cross-reference. GAS pulls PO Qty for this line.</t>
        </is>
      </c>
    </row>
    <row r="11" ht="31.5" customHeight="1" s="12">
      <c r="A11" s="11" t="inlineStr">
        <is>
          <t>REL-054</t>
        </is>
      </c>
      <c r="B11" s="11" t="inlineStr">
        <is>
          <t>GRN_LINE_ITEMS</t>
        </is>
      </c>
      <c r="C11" s="11" t="inlineStr">
        <is>
          <t>⚠ Item Code</t>
        </is>
      </c>
      <c r="D11" s="11" t="inlineStr">
        <is>
          <t>[DYNAMIC]</t>
        </is>
      </c>
      <c r="E11" s="11" t="inlineStr">
        <is>
          <t>Item Code</t>
        </is>
      </c>
      <c r="F11" s="11" t="inlineStr">
        <is>
          <t>Item Name</t>
        </is>
      </c>
      <c r="G11" s="11" t="inlineStr">
        <is>
          <t>No</t>
        </is>
      </c>
      <c r="H11" s="11" t="inlineStr">
        <is>
          <t>No</t>
        </is>
      </c>
      <c r="I11" s="11" t="inlineStr">
        <is>
          <t>Yes</t>
        </is>
      </c>
      <c r="J11" s="11" t="inlineStr">
        <is>
          <t>FILE 1A</t>
        </is>
      </c>
      <c r="K11" s="11" t="inlineStr">
        <is>
          <t>Yes</t>
        </is>
      </c>
      <c r="L11" s="11" t="inlineStr">
        <is>
          <t>Poly-FK same as REL-049. Item Master col drives routing.</t>
        </is>
      </c>
    </row>
    <row r="21" ht="15.75" customHeight="1" s="12"/>
    <row r="22" ht="15.75" customHeight="1" s="12"/>
    <row r="23" ht="15.75" customHeight="1" s="12"/>
    <row r="24" ht="15.75" customHeight="1" s="12"/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1">
    <mergeCell ref="A1:L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12" min="1" max="1"/>
    <col width="18" customWidth="1" style="12" min="2" max="2"/>
    <col width="18" customWidth="1" style="12" min="3" max="3"/>
    <col width="28" customWidth="1" style="12" min="4" max="4"/>
    <col width="45" customWidth="1" style="12" min="5" max="5"/>
    <col width="60" customWidth="1" style="12" min="6" max="6"/>
    <col width="6" customWidth="1" style="12" min="7" max="7"/>
    <col width="10" customWidth="1" style="12" min="8" max="8"/>
    <col width="8" customWidth="1" style="12" min="9" max="9"/>
    <col width="28" customWidth="1" style="12" min="10" max="10"/>
    <col width="14" customWidth="1" style="12" min="11" max="11"/>
  </cols>
  <sheetData>
    <row r="1" ht="36" customHeight="1" s="12">
      <c r="A1" s="14" t="inlineStr">
        <is>
          <t>CC ERP — FILE 2: PROCUREMENT  |  TEMPLATES  |  Pre-fill templates for PO &amp; GRN  |  GAS reads → React &lt;TemplatePickerModal&gt;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</row>
    <row r="2" ht="36" customHeight="1" s="12">
      <c r="A2" s="16" t="inlineStr">
        <is>
          <t>🔑 Template ID</t>
        </is>
      </c>
      <c r="B2" s="16" t="inlineStr">
        <is>
          <t>⚠ Module</t>
        </is>
      </c>
      <c r="C2" s="16" t="inlineStr">
        <is>
          <t>⚠ Sheet Target</t>
        </is>
      </c>
      <c r="D2" s="16" t="inlineStr">
        <is>
          <t>Template Name</t>
        </is>
      </c>
      <c r="E2" s="16" t="inlineStr">
        <is>
          <t>Description</t>
        </is>
      </c>
      <c r="F2" s="16" t="inlineStr">
        <is>
          <t>Pre-fill JSON</t>
        </is>
      </c>
      <c r="G2" s="16" t="inlineStr">
        <is>
          <t>Icon</t>
        </is>
      </c>
      <c r="H2" s="16" t="inlineStr">
        <is>
          <t>Sort Order</t>
        </is>
      </c>
      <c r="I2" s="16" t="inlineStr">
        <is>
          <t>Active</t>
        </is>
      </c>
      <c r="J2" s="16" t="inlineStr">
        <is>
          <t>Created By</t>
        </is>
      </c>
      <c r="K2" s="16" t="inlineStr">
        <is>
          <t>Created Date</t>
        </is>
      </c>
    </row>
    <row r="3" ht="50" customHeight="1" s="12">
      <c r="A3" s="17" t="inlineStr">
        <is>
          <t>AUTO. Format: TPL-001.</t>
        </is>
      </c>
      <c r="B3" s="17" t="inlineStr">
        <is>
          <t>Module this template belongs to. e.g. Procurement-PO</t>
        </is>
      </c>
      <c r="C3" s="17" t="inlineStr">
        <is>
          <t>Target sheet for new record. e.g. PO_MASTER</t>
        </is>
      </c>
      <c r="D3" s="17" t="inlineStr">
        <is>
          <t>Display name in Template Picker. e.g. "Fabric PO — Domestic"</t>
        </is>
      </c>
      <c r="E3" s="17" t="inlineStr">
        <is>
          <t>Short description shown below name. 1-2 lines max.</t>
        </is>
      </c>
      <c r="F3" s="17" t="inlineStr">
        <is>
          <t>JSON object of column:value pairs to pre-fill. e.g. {"PO Type":"Fabric","Currency":"INR"}</t>
        </is>
      </c>
      <c r="G3" s="17" t="inlineStr">
        <is>
          <t>Emoji icon shown in picker. e.g. 🧵 📦 🏭</t>
        </is>
      </c>
      <c r="H3" s="17" t="inlineStr">
        <is>
          <t>Display order in picker. Lower = first.</t>
        </is>
      </c>
      <c r="I3" s="17" t="inlineStr">
        <is>
          <t>Yes / No</t>
        </is>
      </c>
      <c r="J3" s="17" t="inlineStr">
        <is>
          <t>Email of creator. "system" for built-in.</t>
        </is>
      </c>
      <c r="K3" s="17" t="inlineStr">
        <is>
          <t>Date created.</t>
        </is>
      </c>
    </row>
    <row r="4">
      <c r="A4" s="18" t="inlineStr">
        <is>
          <t>TPL-001</t>
        </is>
      </c>
      <c r="B4" s="18" t="inlineStr">
        <is>
          <t>Procurement-PO</t>
        </is>
      </c>
      <c r="C4" s="18" t="inlineStr">
        <is>
          <t>PO_MASTER</t>
        </is>
      </c>
      <c r="D4" s="18" t="inlineStr">
        <is>
          <t>Fabric PO — Domestic</t>
        </is>
      </c>
      <c r="E4" s="18" t="inlineStr">
        <is>
          <t>Standard domestic fabric purchase order with INR currency and 30-day terms</t>
        </is>
      </c>
      <c r="F4" s="18" t="inlineStr">
        <is>
          <t>{"PO Type":"Fabric","Currency":"INR","Payment Terms":"30 Days Credit","Delivery Terms":"Ex-Mill"}</t>
        </is>
      </c>
      <c r="G4" s="18" t="inlineStr">
        <is>
          <t>🧵</t>
        </is>
      </c>
      <c r="H4" s="18" t="n">
        <v>10</v>
      </c>
      <c r="I4" s="18" t="inlineStr">
        <is>
          <t>Yes</t>
        </is>
      </c>
      <c r="J4" s="18" t="inlineStr">
        <is>
          <t>system</t>
        </is>
      </c>
      <c r="K4" s="18" t="inlineStr">
        <is>
          <t>2026-02-26</t>
        </is>
      </c>
    </row>
    <row r="5">
      <c r="A5" s="18" t="inlineStr">
        <is>
          <t>TPL-002</t>
        </is>
      </c>
      <c r="B5" s="18" t="inlineStr">
        <is>
          <t>Procurement-PO</t>
        </is>
      </c>
      <c r="C5" s="18" t="inlineStr">
        <is>
          <t>PO_MASTER</t>
        </is>
      </c>
      <c r="D5" s="18" t="inlineStr">
        <is>
          <t>Fabric PO — Import</t>
        </is>
      </c>
      <c r="E5" s="18" t="inlineStr">
        <is>
          <t>Import fabric order with USD/EUR currency and LC payment</t>
        </is>
      </c>
      <c r="F5" s="18" t="inlineStr">
        <is>
          <t>{"PO Type":"Fabric","Currency":"USD","Payment Terms":"Letter of Credit","Delivery Terms":"CIF"}</t>
        </is>
      </c>
      <c r="G5" s="18" t="inlineStr">
        <is>
          <t>🌏</t>
        </is>
      </c>
      <c r="H5" s="18" t="n">
        <v>20</v>
      </c>
      <c r="I5" s="18" t="inlineStr">
        <is>
          <t>Yes</t>
        </is>
      </c>
      <c r="J5" s="18" t="inlineStr">
        <is>
          <t>system</t>
        </is>
      </c>
      <c r="K5" s="18" t="inlineStr">
        <is>
          <t>2026-02-26</t>
        </is>
      </c>
    </row>
    <row r="6">
      <c r="A6" s="18" t="inlineStr">
        <is>
          <t>TPL-003</t>
        </is>
      </c>
      <c r="B6" s="18" t="inlineStr">
        <is>
          <t>Procurement-PO</t>
        </is>
      </c>
      <c r="C6" s="18" t="inlineStr">
        <is>
          <t>PO_MASTER</t>
        </is>
      </c>
      <c r="D6" s="18" t="inlineStr">
        <is>
          <t>Trim PO — Thread/Label</t>
        </is>
      </c>
      <c r="E6" s="18" t="inlineStr">
        <is>
          <t>Trim purchase for thread, labels, tags</t>
        </is>
      </c>
      <c r="F6" s="18" t="inlineStr">
        <is>
          <t>{"PO Type":"Trim","Currency":"INR","Payment Terms":"15 Days Credit","Delivery Terms":"Delivered"}</t>
        </is>
      </c>
      <c r="G6" s="18" t="inlineStr">
        <is>
          <t>🏷️</t>
        </is>
      </c>
      <c r="H6" s="18" t="n">
        <v>30</v>
      </c>
      <c r="I6" s="18" t="inlineStr">
        <is>
          <t>Yes</t>
        </is>
      </c>
      <c r="J6" s="18" t="inlineStr">
        <is>
          <t>system</t>
        </is>
      </c>
      <c r="K6" s="18" t="inlineStr">
        <is>
          <t>2026-02-26</t>
        </is>
      </c>
    </row>
    <row r="7">
      <c r="A7" s="18" t="inlineStr">
        <is>
          <t>TPL-004</t>
        </is>
      </c>
      <c r="B7" s="18" t="inlineStr">
        <is>
          <t>Procurement-PO</t>
        </is>
      </c>
      <c r="C7" s="18" t="inlineStr">
        <is>
          <t>PO_MASTER</t>
        </is>
      </c>
      <c r="D7" s="18" t="inlineStr">
        <is>
          <t>Trim PO — Zipper/Button</t>
        </is>
      </c>
      <c r="E7" s="18" t="inlineStr">
        <is>
          <t>Trim purchase for zippers, buttons, rivets, elastic</t>
        </is>
      </c>
      <c r="F7" s="18" t="inlineStr">
        <is>
          <t>{"PO Type":"Trim","Currency":"INR","Payment Terms":"30 Days Credit","Delivery Terms":"Delivered"}</t>
        </is>
      </c>
      <c r="G7" s="18" t="inlineStr">
        <is>
          <t>🔘</t>
        </is>
      </c>
      <c r="H7" s="18" t="n">
        <v>40</v>
      </c>
      <c r="I7" s="18" t="inlineStr">
        <is>
          <t>Yes</t>
        </is>
      </c>
      <c r="J7" s="18" t="inlineStr">
        <is>
          <t>system</t>
        </is>
      </c>
      <c r="K7" s="18" t="inlineStr">
        <is>
          <t>2026-02-26</t>
        </is>
      </c>
    </row>
    <row r="8">
      <c r="A8" s="18" t="inlineStr">
        <is>
          <t>TPL-005</t>
        </is>
      </c>
      <c r="B8" s="18" t="inlineStr">
        <is>
          <t>Procurement-PO</t>
        </is>
      </c>
      <c r="C8" s="18" t="inlineStr">
        <is>
          <t>PO_MASTER</t>
        </is>
      </c>
      <c r="D8" s="18" t="inlineStr">
        <is>
          <t>Packaging PO</t>
        </is>
      </c>
      <c r="E8" s="18" t="inlineStr">
        <is>
          <t>Poly bags, cartons, hangers, tissue paper</t>
        </is>
      </c>
      <c r="F8" s="18" t="inlineStr">
        <is>
          <t>{"PO Type":"Packaging","Currency":"INR","Payment Terms":"15 Days Credit","Delivery Terms":"Delivered"}</t>
        </is>
      </c>
      <c r="G8" s="18" t="inlineStr">
        <is>
          <t>📦</t>
        </is>
      </c>
      <c r="H8" s="18" t="n">
        <v>50</v>
      </c>
      <c r="I8" s="18" t="inlineStr">
        <is>
          <t>Yes</t>
        </is>
      </c>
      <c r="J8" s="18" t="inlineStr">
        <is>
          <t>system</t>
        </is>
      </c>
      <c r="K8" s="18" t="inlineStr">
        <is>
          <t>2026-02-26</t>
        </is>
      </c>
    </row>
    <row r="9">
      <c r="A9" s="18" t="inlineStr">
        <is>
          <t>TPL-006</t>
        </is>
      </c>
      <c r="B9" s="18" t="inlineStr">
        <is>
          <t>Procurement-PO</t>
        </is>
      </c>
      <c r="C9" s="18" t="inlineStr">
        <is>
          <t>PO_MASTER</t>
        </is>
      </c>
      <c r="D9" s="18" t="inlineStr">
        <is>
          <t>Consumable PO — Dyes &amp; Chemicals</t>
        </is>
      </c>
      <c r="E9" s="18" t="inlineStr">
        <is>
          <t>Dyes, softeners, chemicals for processing</t>
        </is>
      </c>
      <c r="F9" s="18" t="inlineStr">
        <is>
          <t>{"PO Type":"Consumable","Currency":"INR","Payment Terms":"30 Days Credit","Delivery Terms":"Ex-Mill"}</t>
        </is>
      </c>
      <c r="G9" s="18" t="inlineStr">
        <is>
          <t>🧪</t>
        </is>
      </c>
      <c r="H9" s="18" t="n">
        <v>60</v>
      </c>
      <c r="I9" s="18" t="inlineStr">
        <is>
          <t>Yes</t>
        </is>
      </c>
      <c r="J9" s="18" t="inlineStr">
        <is>
          <t>system</t>
        </is>
      </c>
      <c r="K9" s="18" t="inlineStr">
        <is>
          <t>2026-02-26</t>
        </is>
      </c>
    </row>
    <row r="10">
      <c r="A10" s="18" t="inlineStr">
        <is>
          <t>TPL-007</t>
        </is>
      </c>
      <c r="B10" s="18" t="inlineStr">
        <is>
          <t>Procurement-PO</t>
        </is>
      </c>
      <c r="C10" s="18" t="inlineStr">
        <is>
          <t>PO_MASTER</t>
        </is>
      </c>
      <c r="D10" s="18" t="inlineStr">
        <is>
          <t>Services PO</t>
        </is>
      </c>
      <c r="E10" s="18" t="inlineStr">
        <is>
          <t>Jobwork, testing, transport services</t>
        </is>
      </c>
      <c r="F10" s="18" t="inlineStr">
        <is>
          <t>{"PO Type":"Services","Currency":"INR","Payment Terms":"Against Delivery","Delivery Terms":"N/A"}</t>
        </is>
      </c>
      <c r="G10" s="18" t="inlineStr">
        <is>
          <t>🏭</t>
        </is>
      </c>
      <c r="H10" s="18" t="n">
        <v>70</v>
      </c>
      <c r="I10" s="18" t="inlineStr">
        <is>
          <t>Yes</t>
        </is>
      </c>
      <c r="J10" s="18" t="inlineStr">
        <is>
          <t>system</t>
        </is>
      </c>
      <c r="K10" s="18" t="inlineStr">
        <is>
          <t>2026-02-26</t>
        </is>
      </c>
    </row>
    <row r="11">
      <c r="A11" s="18" t="inlineStr">
        <is>
          <t>TPL-008</t>
        </is>
      </c>
      <c r="B11" s="18" t="inlineStr">
        <is>
          <t>Procurement-PO</t>
        </is>
      </c>
      <c r="C11" s="18" t="inlineStr">
        <is>
          <t>PO_MASTER</t>
        </is>
      </c>
      <c r="D11" s="18" t="inlineStr">
        <is>
          <t>Repeat PO — Copy Previous</t>
        </is>
      </c>
      <c r="E11" s="18" t="inlineStr">
        <is>
          <t>Start from a previous PO (user selects source after)</t>
        </is>
      </c>
      <c r="F11" s="18" t="inlineStr">
        <is>
          <t>{"_action":"copy_from_previous"}</t>
        </is>
      </c>
      <c r="G11" s="18" t="inlineStr">
        <is>
          <t>🔄</t>
        </is>
      </c>
      <c r="H11" s="18" t="n">
        <v>80</v>
      </c>
      <c r="I11" s="18" t="inlineStr">
        <is>
          <t>Yes</t>
        </is>
      </c>
      <c r="J11" s="18" t="inlineStr">
        <is>
          <t>system</t>
        </is>
      </c>
      <c r="K11" s="18" t="inlineStr">
        <is>
          <t>2026-02-26</t>
        </is>
      </c>
    </row>
    <row r="12">
      <c r="A12" s="18" t="inlineStr">
        <is>
          <t>TPL-009</t>
        </is>
      </c>
      <c r="B12" s="18" t="inlineStr">
        <is>
          <t>Procurement-GRN</t>
        </is>
      </c>
      <c r="C12" s="18" t="inlineStr">
        <is>
          <t>GRN_MASTER</t>
        </is>
      </c>
      <c r="D12" s="18" t="inlineStr">
        <is>
          <t>Standard GRN — Against PO</t>
        </is>
      </c>
      <c r="E12" s="18" t="inlineStr">
        <is>
          <t>Receive goods against an existing Purchase Order</t>
        </is>
      </c>
      <c r="F12" s="18" t="inlineStr">
        <is>
          <t>{"Receipt Type":"Against PO"}</t>
        </is>
      </c>
      <c r="G12" s="18" t="inlineStr">
        <is>
          <t>📥</t>
        </is>
      </c>
      <c r="H12" s="18" t="n">
        <v>10</v>
      </c>
      <c r="I12" s="18" t="inlineStr">
        <is>
          <t>Yes</t>
        </is>
      </c>
      <c r="J12" s="18" t="inlineStr">
        <is>
          <t>system</t>
        </is>
      </c>
      <c r="K12" s="18" t="inlineStr">
        <is>
          <t>2026-02-26</t>
        </is>
      </c>
    </row>
    <row r="13">
      <c r="A13" s="18" t="inlineStr">
        <is>
          <t>TPL-010</t>
        </is>
      </c>
      <c r="B13" s="18" t="inlineStr">
        <is>
          <t>Procurement-GRN</t>
        </is>
      </c>
      <c r="C13" s="18" t="inlineStr">
        <is>
          <t>GRN_MASTER</t>
        </is>
      </c>
      <c r="D13" s="18" t="inlineStr">
        <is>
          <t>Direct GRN — No PO</t>
        </is>
      </c>
      <c r="E13" s="18" t="inlineStr">
        <is>
          <t>Receive goods without a PO (emergency/spot purchase)</t>
        </is>
      </c>
      <c r="F13" s="18" t="inlineStr">
        <is>
          <t>{"Receipt Type":"Direct","Notes":"No PO — requires Manager approval"}</t>
        </is>
      </c>
      <c r="G13" s="18" t="inlineStr">
        <is>
          <t>⚡</t>
        </is>
      </c>
      <c r="H13" s="18" t="n">
        <v>20</v>
      </c>
      <c r="I13" s="18" t="inlineStr">
        <is>
          <t>Yes</t>
        </is>
      </c>
      <c r="J13" s="18" t="inlineStr">
        <is>
          <t>system</t>
        </is>
      </c>
      <c r="K13" s="18" t="inlineStr">
        <is>
          <t>2026-02-26</t>
        </is>
      </c>
    </row>
    <row r="14">
      <c r="A14" s="18" t="inlineStr">
        <is>
          <t>TPL-011</t>
        </is>
      </c>
      <c r="B14" s="18" t="inlineStr">
        <is>
          <t>Procurement-GRN</t>
        </is>
      </c>
      <c r="C14" s="18" t="inlineStr">
        <is>
          <t>GRN_MASTER</t>
        </is>
      </c>
      <c r="D14" s="18" t="inlineStr">
        <is>
          <t>Return GRN — Credit Note</t>
        </is>
      </c>
      <c r="E14" s="18" t="inlineStr">
        <is>
          <t>Record return of rejected goods to supplier</t>
        </is>
      </c>
      <c r="F14" s="18" t="inlineStr">
        <is>
          <t>{"Receipt Type":"Return","Notes":"Rejected goods return — creates debit note"}</t>
        </is>
      </c>
      <c r="G14" s="18" t="inlineStr">
        <is>
          <t>↩️</t>
        </is>
      </c>
      <c r="H14" s="18" t="n">
        <v>30</v>
      </c>
      <c r="I14" s="18" t="inlineStr">
        <is>
          <t>Yes</t>
        </is>
      </c>
      <c r="J14" s="18" t="inlineStr">
        <is>
          <t>system</t>
        </is>
      </c>
      <c r="K14" s="18" t="inlineStr">
        <is>
          <t>2026-02-26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12" min="1" max="1"/>
    <col width="18" customWidth="1" style="12" min="2" max="2"/>
    <col width="18" customWidth="1" style="12" min="3" max="3"/>
    <col width="16" customWidth="1" style="12" min="4" max="4"/>
    <col width="30" customWidth="1" style="12" min="5" max="5"/>
    <col width="18" customWidth="1" style="12" min="6" max="6"/>
    <col width="20" customWidth="1" style="12" min="7" max="7"/>
    <col width="55" customWidth="1" style="12" min="8" max="8"/>
    <col width="30" customWidth="1" style="12" min="9" max="9"/>
    <col width="16" customWidth="1" style="12" min="10" max="10"/>
    <col width="10" customWidth="1" style="12" min="11" max="11"/>
    <col width="8" customWidth="1" style="12" min="12" max="12"/>
    <col width="20" customWidth="1" style="12" min="13" max="13"/>
  </cols>
  <sheetData>
    <row r="1" ht="36" customHeight="1" s="12">
      <c r="A1" s="14" t="inlineStr">
        <is>
          <t>CC ERP — FILE 2: PROCUREMENT  |  RECORD_COMMENTS  |  Comments + @Mentions per record  |  GAS reads/writes → React &lt;CommentsPanel&gt;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</row>
    <row r="2" ht="36" customHeight="1" s="12">
      <c r="A2" s="16" t="inlineStr">
        <is>
          <t>🔑 Comment ID</t>
        </is>
      </c>
      <c r="B2" s="16" t="inlineStr">
        <is>
          <t>⚠ Record Ref</t>
        </is>
      </c>
      <c r="C2" s="16" t="inlineStr">
        <is>
          <t>⚠ Module</t>
        </is>
      </c>
      <c r="D2" s="16" t="inlineStr">
        <is>
          <t>⚠ Sheet</t>
        </is>
      </c>
      <c r="E2" s="16" t="inlineStr">
        <is>
          <t>Author Email</t>
        </is>
      </c>
      <c r="F2" s="16" t="inlineStr">
        <is>
          <t>Author Name</t>
        </is>
      </c>
      <c r="G2" s="16" t="inlineStr">
        <is>
          <t>Timestamp</t>
        </is>
      </c>
      <c r="H2" s="16" t="inlineStr">
        <is>
          <t>Comment Text</t>
        </is>
      </c>
      <c r="I2" s="16" t="inlineStr">
        <is>
          <t>Mentions</t>
        </is>
      </c>
      <c r="J2" s="16" t="inlineStr">
        <is>
          <t>Parent Comment ID</t>
        </is>
      </c>
      <c r="K2" s="16" t="inlineStr">
        <is>
          <t>Status</t>
        </is>
      </c>
      <c r="L2" s="16" t="inlineStr">
        <is>
          <t>Edited</t>
        </is>
      </c>
      <c r="M2" s="16" t="inlineStr">
        <is>
          <t>Edit Timestamp</t>
        </is>
      </c>
    </row>
    <row r="3" ht="50" customHeight="1" s="12">
      <c r="A3" s="17" t="inlineStr">
        <is>
          <t>AUTO. Format: CMT-00001. Sequential across all records.</t>
        </is>
      </c>
      <c r="B3" s="17" t="inlineStr">
        <is>
          <t>Record this comment belongs to. e.g. PO-2026-0001, GRN-2026-0001</t>
        </is>
      </c>
      <c r="C3" s="17" t="inlineStr">
        <is>
          <t>Module. e.g. Procurement-PO, Procurement-GRN</t>
        </is>
      </c>
      <c r="D3" s="17" t="inlineStr">
        <is>
          <t>Source sheet. e.g. PO_MASTER, GRN_MASTER</t>
        </is>
      </c>
      <c r="E3" s="17" t="inlineStr">
        <is>
          <t>FK → USER_MASTER. Email of comment author.</t>
        </is>
      </c>
      <c r="F3" s="17" t="inlineStr">
        <is>
          <t>Display name cached at time of comment.</t>
        </is>
      </c>
      <c r="G3" s="17" t="inlineStr">
        <is>
          <t>AUTO. DateTime when comment was posted. GAS writes.</t>
        </is>
      </c>
      <c r="H3" s="17" t="inlineStr">
        <is>
          <t>Comment text. May contain @mentions as @{email}.</t>
        </is>
      </c>
      <c r="I3" s="17" t="inlineStr">
        <is>
          <t>JSON array of mentioned user emails. e.g. ["ravi@cc.com","mohit@cc.com"]</t>
        </is>
      </c>
      <c r="J3" s="17" t="inlineStr">
        <is>
          <t>If reply, the CMT ID of parent. Empty for top-level comments.</t>
        </is>
      </c>
      <c r="K3" s="17" t="inlineStr">
        <is>
          <t>ACTIVE / DELETED. Soft delete — never remove rows.</t>
        </is>
      </c>
      <c r="L3" s="17" t="inlineStr">
        <is>
          <t>Yes / No. Whether comment was edited after posting.</t>
        </is>
      </c>
      <c r="M3" s="17" t="inlineStr">
        <is>
          <t>DateTime of last edit. Empty if never edited.</t>
        </is>
      </c>
    </row>
    <row r="4">
      <c r="A4" s="18" t="inlineStr">
        <is>
          <t>CMT-00001</t>
        </is>
      </c>
      <c r="B4" s="18" t="inlineStr">
        <is>
          <t>PO-2026-0001</t>
        </is>
      </c>
      <c r="C4" s="18" t="inlineStr">
        <is>
          <t>Procurement-PO</t>
        </is>
      </c>
      <c r="D4" s="18" t="inlineStr">
        <is>
          <t>PO_MASTER</t>
        </is>
      </c>
      <c r="E4" s="18" t="inlineStr">
        <is>
          <t>saurav@confidenceclothing.com</t>
        </is>
      </c>
      <c r="F4" s="18" t="inlineStr">
        <is>
          <t>Saurav Aggarwal</t>
        </is>
      </c>
      <c r="G4" s="18" t="inlineStr">
        <is>
          <t>2026-02-26 10:30:00</t>
        </is>
      </c>
      <c r="H4" s="18" t="inlineStr">
        <is>
          <t>Please check the rate for RM-FAB-001, seems high compared to last PO. @ravi@confidenceclothing.com can you verify?</t>
        </is>
      </c>
      <c r="I4" s="18" t="inlineStr">
        <is>
          <t>["ravi@confidenceclothing.com"]</t>
        </is>
      </c>
      <c r="J4" s="18" t="inlineStr"/>
      <c r="K4" s="18" t="inlineStr">
        <is>
          <t>ACTIVE</t>
        </is>
      </c>
      <c r="L4" s="18" t="inlineStr">
        <is>
          <t>No</t>
        </is>
      </c>
      <c r="M4" s="18" t="inlineStr"/>
    </row>
    <row r="5">
      <c r="A5" s="18" t="inlineStr">
        <is>
          <t>CMT-00002</t>
        </is>
      </c>
      <c r="B5" s="18" t="inlineStr">
        <is>
          <t>PO-2026-0001</t>
        </is>
      </c>
      <c r="C5" s="18" t="inlineStr">
        <is>
          <t>Procurement-PO</t>
        </is>
      </c>
      <c r="D5" s="18" t="inlineStr">
        <is>
          <t>PO_MASTER</t>
        </is>
      </c>
      <c r="E5" s="18" t="inlineStr">
        <is>
          <t>ravi@confidenceclothing.com</t>
        </is>
      </c>
      <c r="F5" s="18" t="inlineStr">
        <is>
          <t>Ravi Kumar</t>
        </is>
      </c>
      <c r="G5" s="18" t="inlineStr">
        <is>
          <t>2026-02-26 11:15:00</t>
        </is>
      </c>
      <c r="H5" s="18" t="inlineStr">
        <is>
          <t>Checked — last PO rate was ₹185/kg, current quote is ₹192/kg. 3.8% increase. Market rate is up.</t>
        </is>
      </c>
      <c r="I5" s="18" t="inlineStr">
        <is>
          <t>[]</t>
        </is>
      </c>
      <c r="J5" s="18" t="inlineStr">
        <is>
          <t>CMT-00001</t>
        </is>
      </c>
      <c r="K5" s="18" t="inlineStr">
        <is>
          <t>ACTIVE</t>
        </is>
      </c>
      <c r="L5" s="18" t="inlineStr">
        <is>
          <t>No</t>
        </is>
      </c>
      <c r="M5" s="18" t="inlineStr"/>
    </row>
    <row r="6">
      <c r="A6" s="18" t="inlineStr">
        <is>
          <t>CMT-00003</t>
        </is>
      </c>
      <c r="B6" s="18" t="inlineStr">
        <is>
          <t>PO-2026-0001</t>
        </is>
      </c>
      <c r="C6" s="18" t="inlineStr">
        <is>
          <t>Procurement-PO</t>
        </is>
      </c>
      <c r="D6" s="18" t="inlineStr">
        <is>
          <t>PO_MASTER</t>
        </is>
      </c>
      <c r="E6" s="18" t="inlineStr">
        <is>
          <t>saurav@confidenceclothing.com</t>
        </is>
      </c>
      <c r="F6" s="18" t="inlineStr">
        <is>
          <t>Saurav Aggarwal</t>
        </is>
      </c>
      <c r="G6" s="18" t="inlineStr">
        <is>
          <t>2026-02-26 11:20:00</t>
        </is>
      </c>
      <c r="H6" s="18" t="inlineStr">
        <is>
          <t>Ok approved. Let's proceed with ₹192.</t>
        </is>
      </c>
      <c r="I6" s="18" t="inlineStr">
        <is>
          <t>[]</t>
        </is>
      </c>
      <c r="J6" s="18" t="inlineStr">
        <is>
          <t>CMT-00001</t>
        </is>
      </c>
      <c r="K6" s="18" t="inlineStr">
        <is>
          <t>ACTIVE</t>
        </is>
      </c>
      <c r="L6" s="18" t="inlineStr">
        <is>
          <t>No</t>
        </is>
      </c>
      <c r="M6" s="18" t="inlineStr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2026-02-23T12:00:28Z</dcterms:created>
  <dcterms:modified xmlns:dcterms="http://purl.org/dc/terms/" xmlns:xsi="http://www.w3.org/2001/XMLSchema-instance" xsi:type="dcterms:W3CDTF">2026-02-25T20:41:37Z</dcterms:modified>
</cp:coreProperties>
</file>